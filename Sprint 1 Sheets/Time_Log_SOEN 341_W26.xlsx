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 - Work Log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<sst xmlns="http://schemas.openxmlformats.org/spreadsheetml/2006/main" count="67" uniqueCount="40">
  <si>
    <t>Dates</t>
  </si>
  <si>
    <t>Member</t>
  </si>
  <si>
    <t>Start Time</t>
  </si>
  <si>
    <t>End Time</t>
  </si>
  <si>
    <t>Time Spent</t>
  </si>
  <si>
    <t>Description</t>
  </si>
  <si>
    <t>Ethan Elkaim</t>
  </si>
  <si>
    <t>Set up skeleton for app including resuable nav bar and home page + base css for app layout and nave bar</t>
  </si>
  <si>
    <t>Martin Miskovski</t>
  </si>
  <si>
    <t xml:space="preserve">Started the Registeration UI, Set up a CSS, EJS, JS </t>
  </si>
  <si>
    <t>Marc Urbano</t>
  </si>
  <si>
    <t>Set up Login.ejs, started HTML for login UI. Configured contrainer for reqiured fields.</t>
  </si>
  <si>
    <t>Set up server.js routes so the pages load + Started client side verification for registration</t>
  </si>
  <si>
    <t>Designed the layout of the page, added html logic to properly save user inputs</t>
  </si>
  <si>
    <t>Finished client side verification for registration</t>
  </si>
  <si>
    <t>Kadio Paul-Philippe Ehui</t>
  </si>
  <si>
    <t>Set up the Login back- end implementation by adapting the front.</t>
  </si>
  <si>
    <t xml:space="preserve">Worked on the css, </t>
  </si>
  <si>
    <t>Kepler Paul-Emile</t>
  </si>
  <si>
    <t>Started organizing the profile management page:html, containers ,button ,select elements</t>
  </si>
  <si>
    <t>Started server side verification for registration</t>
  </si>
  <si>
    <t>Finished setting up server side verification for registration page</t>
  </si>
  <si>
    <t>Chrisjan Alejandro</t>
  </si>
  <si>
    <t>Started backend logic for saving user preferences. Created initial JSON structure for storing allergy and diet data.</t>
  </si>
  <si>
    <t>Completed Login UI skeleton, added login.css for login UI styling.</t>
  </si>
  <si>
    <t>Implemented server-side validation for incoming preference data to ensure correct format before saving.</t>
  </si>
  <si>
    <t>Tested server side verification and fixed a few bugs + css</t>
  </si>
  <si>
    <t>Improving the backend logic with session.</t>
  </si>
  <si>
    <t>Started planning the interaction of elements in the Profile Management page: Adding allergies, selecting Preferences</t>
  </si>
  <si>
    <t>Worked on login.css</t>
  </si>
  <si>
    <t>Worked on css, added an error message for wrong given inputs by the user</t>
  </si>
  <si>
    <t>Tested out registration flow to ensure everything worked well. Fixed a few typos and some css</t>
  </si>
  <si>
    <t>Integrated backend routes with the frontend profile management page. Configured server.js to handle preference update requests</t>
  </si>
  <si>
    <t>Finished login.css. Added background image for login UI. Created Pull Request.</t>
  </si>
  <si>
    <t>Finalized profile management backend.Verified data persistence and completed error handling for user updates.</t>
  </si>
  <si>
    <t xml:space="preserve">Finalized the look of the profile management page </t>
  </si>
  <si>
    <t xml:space="preserve">Miscellaneous debugging and testing </t>
  </si>
  <si>
    <t>Auth UI polish + styling error messages</t>
  </si>
  <si>
    <t>Total Time Spent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</si>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</sst>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&quot;:&quot;mm&quot; &quot;am/pm"/>
    <numFmt numFmtId="166" formatCode="h&quot;: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166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2" fontId="2" numFmtId="164" xfId="0" applyAlignment="1" applyBorder="1" applyFill="1" applyFont="1" applyNumberFormat="1">
      <alignment horizontal="right" readingOrder="0" shrinkToFit="0" vertical="center" wrapText="0"/>
    </xf>
    <xf borderId="1" fillId="2" fontId="2" numFmtId="166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6" xfId="0" applyBorder="1" applyFont="1" applyNumberFormat="1"/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 1 - Work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7" sheet="Sprint 1 - Work Log"/>
  </cacheSource>
  <cacheFields>
    <cacheField name="Dates" numFmtId="164">
      <sharedItems containsSemiMixedTypes="0" containsDate="1" containsString="0"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</sharedItems>
    </cacheField>
    <cacheField name="Member" numFmtId="0">
      <sharedItems>
        <s v="Ethan Elkaim"/>
        <s v="Martin Miskovski"/>
        <s v="Marc Urbano"/>
        <s v="Kadio Paul-Philippe Ehui"/>
        <s v="Kepler Paul-Emile"/>
        <s v="Chrisjan Alejandro"/>
      </sharedItems>
    </cacheField>
    <cacheField name="Start Time" numFmtId="165">
      <sharedItems containsSemiMixedTypes="0" containsDate="1" containsString="0">
        <d v="1899-12-30T19:00:00Z"/>
        <d v="1899-12-30T21:00:00Z"/>
        <d v="1899-12-30T14:00:00Z"/>
        <d v="1899-12-30T20:00:00Z"/>
        <d v="1899-12-30T15:30:00Z"/>
        <d v="1899-12-30T22:00:00Z"/>
        <d v="1899-12-30T17:30:00Z"/>
        <d v="1899-12-30T12:00:00Z"/>
      </sharedItems>
    </cacheField>
    <cacheField name="End Time" numFmtId="165">
      <sharedItems containsSemiMixedTypes="0" containsDate="1" containsString="0">
        <d v="1899-12-30T20:30:00Z"/>
        <d v="1899-12-30T23:30:00Z"/>
        <d v="1899-12-30T22:30:00Z"/>
        <d v="1899-12-30T15:30:00Z"/>
        <d v="1899-12-30T20:00:00Z"/>
        <d v="1899-12-30T21:00:00Z"/>
        <d v="1899-12-30T22:00:00Z"/>
        <d v="1899-12-30T16:00:00Z"/>
        <d v="1899-12-30T17:30:00Z"/>
        <d v="1899-12-30T18:30:00Z"/>
        <d v="1899-12-30T21:30:00Z"/>
        <d v="1899-12-30T13:00:00Z"/>
      </sharedItems>
    </cacheField>
    <cacheField name="Time Spent" numFmtId="166">
      <sharedItems containsSemiMixedTypes="0" containsDate="1" containsString="0">
        <d v="1899-12-30T01:30:00Z"/>
        <d v="1899-12-30T02:30:00Z"/>
        <d v="1899-12-30T01:00:00Z"/>
        <d v="1899-12-30T02:00:00Z"/>
        <d v="1899-12-30T03:00:00Z"/>
      </sharedItems>
    </cacheField>
    <cacheField name="Description" numFmtId="0">
      <sharedItems>
        <s v="Set up skeleton for app including resuable nav bar and home page + base css for app layout and nave bar"/>
        <s v="Started the Registeration UI, Set up a CSS, EJS, JS "/>
        <s v="Set up Login.ejs, started HTML for login UI. Configured contrainer for reqiured fields."/>
        <s v="Set up server.js routes so the pages load + Started client side verification for registration"/>
        <s v="Designed the layout of the page, added html logic to properly save user inputs"/>
        <s v="Finished client side verification for registration"/>
        <s v="Set up the Login back- end implementation by adapting the front."/>
        <s v="Worked on the css, "/>
        <s v="Started organizing the profile management page:html, containers ,button ,select elements"/>
        <s v="Started server side verification for registration"/>
        <s v="Finished setting up server side verification for registration page"/>
        <s v="Started backend logic for saving user preferences. Created initial JSON structure for storing allergy and diet data."/>
        <s v="Completed Login UI skeleton, added login.css for login UI styling."/>
        <s v="Implemented server-side validation for incoming preference data to ensure correct format before saving."/>
        <s v="Tested server side verification and fixed a few bugs + css"/>
        <s v="Improving the backend logic with session."/>
        <s v="Started planning the interaction of elements in the Profile Management page: Adding allergies, selecting Preferences"/>
        <s v="Worked on login.css"/>
        <s v="Worked on css, added an error message for wrong given inputs by the user"/>
        <s v="Tested out registration flow to ensure everything worked well. Fixed a few typos and some css"/>
        <s v="Integrated backend routes with the frontend profile management page. Configured server.js to handle preference update requests"/>
        <s v="Finished login.css. Added background image for login UI. Created Pull Request."/>
        <s v="Finalized profile management backend.Verified data persistence and completed error handling for user updates."/>
        <s v="Finalized the look of the profile management page "/>
        <s v="Miscellaneous debugging and testing "/>
        <s v="Auth UI polish + styling error messag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print 1 - Work Log" cacheId="0" dataCaption="" compact="0" compactData="0">
  <location ref="A29:B36" firstHeaderRow="0" firstDataRow="1" firstDataCol="0"/>
  <pivotFields>
    <pivotField name="Dat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ember" axis="axisRow" compact="0" outline="0" multipleItemSelectionAllowed="1" showAll="0" sortType="ascending">
      <items>
        <item x="5"/>
        <item x="0"/>
        <item x="3"/>
        <item x="4"/>
        <item x="2"/>
        <item x="1"/>
        <item t="default"/>
      </items>
    </pivotField>
    <pivotField name="Start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nd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me Spent" dataField="1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1"/>
  </rowFields>
  <dataFields>
    <dataField name="Total Time Spent" fld="4" baseField="0"/>
  </dataFields>
</pivotTableDefinition>
</file>

<file path=xl/tables/table1.xml><?xml version="1.0" encoding="utf-8"?>
<table xmlns="http://schemas.openxmlformats.org/spreadsheetml/2006/main" ref="A1:F27" displayName="Work_Log_Sprint_1" name="Work_Log_Sprint_1" id="1">
  <tableColumns count="6">
    <tableColumn name="Dates" id="1"/>
    <tableColumn name="Member" id="2"/>
    <tableColumn name="Start Time" id="3"/>
    <tableColumn name="End Time" id="4"/>
    <tableColumn name="Time Spent" id="5"/>
    <tableColumn name="Description" id="6"/>
  </tableColumns>
  <tableStyleInfo name="Sprint 1 - Work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0.13"/>
    <col customWidth="1" min="3" max="3" width="16.5"/>
    <col customWidth="1" min="4" max="4" width="16.38"/>
    <col customWidth="1" min="5" max="5" width="20.75"/>
    <col customWidth="1" min="6" max="6" width="55.25"/>
    <col customWidth="1" min="7" max="7" width="16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ht="22.5" customHeight="1">
      <c r="A2" s="5">
        <v>46045.0</v>
      </c>
      <c r="B2" s="6" t="s">
        <v>6</v>
      </c>
      <c r="C2" s="7">
        <v>0.7916666666666666</v>
      </c>
      <c r="D2" s="7">
        <v>0.8541666666666666</v>
      </c>
      <c r="E2" s="8">
        <f t="shared" ref="E2:E27" si="1">D2-C2</f>
        <v>0.0625</v>
      </c>
      <c r="F2" s="9" t="s">
        <v>7</v>
      </c>
    </row>
    <row r="3" ht="22.5" customHeight="1">
      <c r="A3" s="5">
        <v>46046.0</v>
      </c>
      <c r="B3" s="6" t="s">
        <v>8</v>
      </c>
      <c r="C3" s="7">
        <v>0.875</v>
      </c>
      <c r="D3" s="7">
        <v>0.9791666666666666</v>
      </c>
      <c r="E3" s="8">
        <f t="shared" si="1"/>
        <v>0.1041666667</v>
      </c>
      <c r="F3" s="9" t="s">
        <v>9</v>
      </c>
    </row>
    <row r="4" ht="22.5" customHeight="1">
      <c r="A4" s="5">
        <v>46046.0</v>
      </c>
      <c r="B4" s="6" t="s">
        <v>10</v>
      </c>
      <c r="C4" s="7">
        <v>0.875</v>
      </c>
      <c r="D4" s="7">
        <v>0.9375</v>
      </c>
      <c r="E4" s="8">
        <f t="shared" si="1"/>
        <v>0.0625</v>
      </c>
      <c r="F4" s="9" t="s">
        <v>11</v>
      </c>
    </row>
    <row r="5" ht="22.5" customHeight="1">
      <c r="A5" s="5">
        <v>46047.0</v>
      </c>
      <c r="B5" s="6" t="s">
        <v>6</v>
      </c>
      <c r="C5" s="7">
        <v>0.5833333333333334</v>
      </c>
      <c r="D5" s="7">
        <v>0.6458333333333334</v>
      </c>
      <c r="E5" s="8">
        <f t="shared" si="1"/>
        <v>0.0625</v>
      </c>
      <c r="F5" s="9" t="s">
        <v>12</v>
      </c>
    </row>
    <row r="6" ht="22.5" customHeight="1">
      <c r="A6" s="5">
        <v>46048.0</v>
      </c>
      <c r="B6" s="6" t="s">
        <v>8</v>
      </c>
      <c r="C6" s="7">
        <v>0.7916666666666666</v>
      </c>
      <c r="D6" s="7">
        <v>0.8333333333333334</v>
      </c>
      <c r="E6" s="8">
        <f t="shared" si="1"/>
        <v>0.04166666667</v>
      </c>
      <c r="F6" s="9" t="s">
        <v>13</v>
      </c>
    </row>
    <row r="7" ht="22.5" customHeight="1">
      <c r="A7" s="5">
        <v>46049.0</v>
      </c>
      <c r="B7" s="6" t="s">
        <v>6</v>
      </c>
      <c r="C7" s="7">
        <v>0.7916666666666666</v>
      </c>
      <c r="D7" s="7">
        <v>0.8333333333333334</v>
      </c>
      <c r="E7" s="8">
        <f t="shared" si="1"/>
        <v>0.04166666667</v>
      </c>
      <c r="F7" s="9" t="s">
        <v>14</v>
      </c>
    </row>
    <row r="8" ht="22.5" customHeight="1">
      <c r="A8" s="5">
        <v>46049.0</v>
      </c>
      <c r="B8" s="6" t="s">
        <v>15</v>
      </c>
      <c r="C8" s="7">
        <v>0.7916666666666666</v>
      </c>
      <c r="D8" s="7">
        <v>0.875</v>
      </c>
      <c r="E8" s="8">
        <f t="shared" si="1"/>
        <v>0.08333333333</v>
      </c>
      <c r="F8" s="9" t="s">
        <v>16</v>
      </c>
    </row>
    <row r="9" ht="22.5" customHeight="1">
      <c r="A9" s="5">
        <v>46049.0</v>
      </c>
      <c r="B9" s="6" t="s">
        <v>8</v>
      </c>
      <c r="C9" s="7">
        <v>0.8333333333333334</v>
      </c>
      <c r="D9" s="7">
        <v>0.9166666666666666</v>
      </c>
      <c r="E9" s="8">
        <f t="shared" si="1"/>
        <v>0.08333333333</v>
      </c>
      <c r="F9" s="9" t="s">
        <v>17</v>
      </c>
    </row>
    <row r="10" ht="22.5" customHeight="1">
      <c r="A10" s="5">
        <v>46050.0</v>
      </c>
      <c r="B10" s="6" t="s">
        <v>18</v>
      </c>
      <c r="C10" s="7">
        <v>0.7916666666666666</v>
      </c>
      <c r="D10" s="7">
        <v>0.875</v>
      </c>
      <c r="E10" s="8">
        <f t="shared" si="1"/>
        <v>0.08333333333</v>
      </c>
      <c r="F10" s="9" t="s">
        <v>19</v>
      </c>
    </row>
    <row r="11" ht="22.5" customHeight="1">
      <c r="A11" s="5">
        <v>46051.0</v>
      </c>
      <c r="B11" s="6" t="s">
        <v>6</v>
      </c>
      <c r="C11" s="7">
        <v>0.875</v>
      </c>
      <c r="D11" s="7">
        <v>0.9166666666666666</v>
      </c>
      <c r="E11" s="8">
        <f t="shared" si="1"/>
        <v>0.04166666667</v>
      </c>
      <c r="F11" s="9" t="s">
        <v>20</v>
      </c>
    </row>
    <row r="12" ht="22.5" customHeight="1">
      <c r="A12" s="5">
        <v>46052.0</v>
      </c>
      <c r="B12" s="6" t="s">
        <v>6</v>
      </c>
      <c r="C12" s="7">
        <v>0.7916666666666666</v>
      </c>
      <c r="D12" s="7">
        <v>0.8333333333333334</v>
      </c>
      <c r="E12" s="8">
        <f t="shared" si="1"/>
        <v>0.04166666667</v>
      </c>
      <c r="F12" s="9" t="s">
        <v>21</v>
      </c>
    </row>
    <row r="13" ht="22.5" customHeight="1">
      <c r="A13" s="5">
        <v>46052.0</v>
      </c>
      <c r="B13" s="6" t="s">
        <v>22</v>
      </c>
      <c r="C13" s="7">
        <v>0.7916666666666666</v>
      </c>
      <c r="D13" s="7">
        <v>0.875</v>
      </c>
      <c r="E13" s="8">
        <f t="shared" si="1"/>
        <v>0.08333333333</v>
      </c>
      <c r="F13" s="9" t="s">
        <v>23</v>
      </c>
    </row>
    <row r="14" ht="22.5" customHeight="1">
      <c r="A14" s="5">
        <v>46052.0</v>
      </c>
      <c r="B14" s="6" t="s">
        <v>10</v>
      </c>
      <c r="C14" s="7">
        <v>0.5833333333333334</v>
      </c>
      <c r="D14" s="7">
        <v>0.6666666666666666</v>
      </c>
      <c r="E14" s="8">
        <f t="shared" si="1"/>
        <v>0.08333333333</v>
      </c>
      <c r="F14" s="9" t="s">
        <v>24</v>
      </c>
    </row>
    <row r="15" ht="22.5" customHeight="1">
      <c r="A15" s="10">
        <v>46053.0</v>
      </c>
      <c r="B15" s="6" t="s">
        <v>22</v>
      </c>
      <c r="C15" s="7">
        <v>0.7916666666666666</v>
      </c>
      <c r="D15" s="7">
        <v>0.8333333333333334</v>
      </c>
      <c r="E15" s="11">
        <f t="shared" si="1"/>
        <v>0.04166666667</v>
      </c>
      <c r="F15" s="12" t="s">
        <v>25</v>
      </c>
    </row>
    <row r="16" ht="22.5" customHeight="1">
      <c r="A16" s="5">
        <v>46054.0</v>
      </c>
      <c r="B16" s="6" t="s">
        <v>6</v>
      </c>
      <c r="C16" s="7">
        <v>0.875</v>
      </c>
      <c r="D16" s="7">
        <v>0.9166666666666666</v>
      </c>
      <c r="E16" s="8">
        <f t="shared" si="1"/>
        <v>0.04166666667</v>
      </c>
      <c r="F16" s="13" t="s">
        <v>26</v>
      </c>
    </row>
    <row r="17" ht="22.5" customHeight="1">
      <c r="A17" s="5">
        <v>46054.0</v>
      </c>
      <c r="B17" s="6" t="s">
        <v>15</v>
      </c>
      <c r="C17" s="7">
        <v>0.6458333333333334</v>
      </c>
      <c r="D17" s="7">
        <v>0.7291666666666666</v>
      </c>
      <c r="E17" s="8">
        <f t="shared" si="1"/>
        <v>0.08333333333</v>
      </c>
      <c r="F17" s="9" t="s">
        <v>27</v>
      </c>
    </row>
    <row r="18" ht="22.5" customHeight="1">
      <c r="A18" s="5">
        <v>46054.0</v>
      </c>
      <c r="B18" s="6" t="s">
        <v>18</v>
      </c>
      <c r="C18" s="7">
        <v>0.7916666666666666</v>
      </c>
      <c r="D18" s="7">
        <v>0.8333333333333334</v>
      </c>
      <c r="E18" s="8">
        <f t="shared" si="1"/>
        <v>0.04166666667</v>
      </c>
      <c r="F18" s="9" t="s">
        <v>28</v>
      </c>
    </row>
    <row r="19" ht="22.5" customHeight="1">
      <c r="A19" s="5">
        <v>46054.0</v>
      </c>
      <c r="B19" s="6" t="s">
        <v>10</v>
      </c>
      <c r="C19" s="7">
        <v>0.7916666666666666</v>
      </c>
      <c r="D19" s="7">
        <v>0.875</v>
      </c>
      <c r="E19" s="8">
        <f t="shared" si="1"/>
        <v>0.08333333333</v>
      </c>
      <c r="F19" s="9" t="s">
        <v>29</v>
      </c>
    </row>
    <row r="20" ht="22.5" customHeight="1">
      <c r="A20" s="5">
        <v>46055.0</v>
      </c>
      <c r="B20" s="6" t="s">
        <v>8</v>
      </c>
      <c r="C20" s="7">
        <v>0.7916666666666666</v>
      </c>
      <c r="D20" s="7">
        <v>0.9166666666666666</v>
      </c>
      <c r="E20" s="8">
        <f t="shared" si="1"/>
        <v>0.125</v>
      </c>
      <c r="F20" s="9" t="s">
        <v>30</v>
      </c>
    </row>
    <row r="21" ht="22.5" customHeight="1">
      <c r="A21" s="5">
        <v>46055.0</v>
      </c>
      <c r="B21" s="6" t="s">
        <v>6</v>
      </c>
      <c r="C21" s="7">
        <v>0.9166666666666666</v>
      </c>
      <c r="D21" s="7">
        <v>0.9791666666666666</v>
      </c>
      <c r="E21" s="8">
        <f t="shared" si="1"/>
        <v>0.0625</v>
      </c>
      <c r="F21" s="9" t="s">
        <v>31</v>
      </c>
    </row>
    <row r="22" ht="22.5" customHeight="1">
      <c r="A22" s="5">
        <v>46056.0</v>
      </c>
      <c r="B22" s="6" t="s">
        <v>22</v>
      </c>
      <c r="C22" s="7">
        <v>0.6458333333333334</v>
      </c>
      <c r="D22" s="7">
        <v>0.7708333333333334</v>
      </c>
      <c r="E22" s="8">
        <f t="shared" si="1"/>
        <v>0.125</v>
      </c>
      <c r="F22" s="9" t="s">
        <v>32</v>
      </c>
    </row>
    <row r="23" ht="22.5" customHeight="1">
      <c r="A23" s="5">
        <v>46056.0</v>
      </c>
      <c r="B23" s="6" t="s">
        <v>10</v>
      </c>
      <c r="C23" s="7">
        <v>0.6458333333333334</v>
      </c>
      <c r="D23" s="7">
        <v>0.7291666666666666</v>
      </c>
      <c r="E23" s="8">
        <f t="shared" si="1"/>
        <v>0.08333333333</v>
      </c>
      <c r="F23" s="9" t="s">
        <v>33</v>
      </c>
    </row>
    <row r="24" ht="22.5" customHeight="1">
      <c r="A24" s="5">
        <v>46057.0</v>
      </c>
      <c r="B24" s="6" t="s">
        <v>22</v>
      </c>
      <c r="C24" s="7">
        <v>0.7291666666666666</v>
      </c>
      <c r="D24" s="7">
        <v>0.7708333333333334</v>
      </c>
      <c r="E24" s="8">
        <f t="shared" si="1"/>
        <v>0.04166666667</v>
      </c>
      <c r="F24" s="14" t="s">
        <v>34</v>
      </c>
    </row>
    <row r="25" ht="22.5" customHeight="1">
      <c r="A25" s="5">
        <v>46057.0</v>
      </c>
      <c r="B25" s="6" t="s">
        <v>18</v>
      </c>
      <c r="C25" s="7">
        <v>0.7916666666666666</v>
      </c>
      <c r="D25" s="7">
        <v>0.9166666666666666</v>
      </c>
      <c r="E25" s="8">
        <f t="shared" si="1"/>
        <v>0.125</v>
      </c>
      <c r="F25" s="9" t="s">
        <v>35</v>
      </c>
    </row>
    <row r="26" ht="22.5" customHeight="1">
      <c r="A26" s="5">
        <v>46058.0</v>
      </c>
      <c r="B26" s="6" t="s">
        <v>15</v>
      </c>
      <c r="C26" s="7">
        <v>0.7916666666666666</v>
      </c>
      <c r="D26" s="7">
        <v>0.8958333333333334</v>
      </c>
      <c r="E26" s="8">
        <f t="shared" si="1"/>
        <v>0.1041666667</v>
      </c>
      <c r="F26" s="9" t="s">
        <v>36</v>
      </c>
    </row>
    <row r="27" ht="22.5" customHeight="1">
      <c r="A27" s="5">
        <v>46058.0</v>
      </c>
      <c r="B27" s="6" t="s">
        <v>6</v>
      </c>
      <c r="C27" s="7">
        <v>0.5</v>
      </c>
      <c r="D27" s="7">
        <v>0.5416666666666666</v>
      </c>
      <c r="E27" s="8">
        <f t="shared" si="1"/>
        <v>0.04166666667</v>
      </c>
      <c r="F27" s="9" t="s">
        <v>37</v>
      </c>
    </row>
    <row r="28">
      <c r="A28" s="15"/>
    </row>
    <row r="29"/>
    <row r="30"/>
    <row r="31"/>
    <row r="32"/>
    <row r="33"/>
    <row r="34"/>
    <row r="35"/>
    <row r="36"/>
  </sheetData>
  <dataValidations>
    <dataValidation type="custom" allowBlank="1" showDropDown="1" sqref="C2:E27">
      <formula1>OR(TIMEVALUE(TEXT(C2, "hh:mm:ss"))=C2, AND(ISNUMBER(C2), LEFT(CELL("format", C2))="D"))</formula1>
    </dataValidation>
    <dataValidation type="custom" allowBlank="1" showDropDown="1" sqref="A2:A27">
      <formula1>OR(NOT(ISERROR(DATEVALUE(A2))), AND(ISNUMBER(A2), LEFT(CELL("format", A2))="D"))</formula1>
    </dataValidation>
  </dataValidations>
  <drawing r:id="rId2"/>
  <tableParts count="1">
    <tablePart r:id="rId4"/>
  </tableParts>
</worksheet>
</file>